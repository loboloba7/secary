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xnZv9mEuw1cjhTtUip416EbY5rhyzojy5Kq32yqOc0="/>
    </ext>
  </extLst>
</workbook>
</file>

<file path=xl/sharedStrings.xml><?xml version="1.0" encoding="utf-8"?>
<sst xmlns="http://schemas.openxmlformats.org/spreadsheetml/2006/main" count="48" uniqueCount="46">
  <si>
    <t>Actualizado:</t>
  </si>
  <si>
    <t>ENTIDAD</t>
  </si>
  <si>
    <t>UBICACIÓN</t>
  </si>
  <si>
    <t>COMERCIANTES</t>
  </si>
  <si>
    <t>HOMBRES</t>
  </si>
  <si>
    <t>MUJERES</t>
  </si>
  <si>
    <t>MERCADO 10 DE AGOSTO</t>
  </si>
  <si>
    <t>CALLE LARGA Y CALLE GENERAL TORRES</t>
  </si>
  <si>
    <t>MERCADO 27 DE FEBRERO</t>
  </si>
  <si>
    <t>CALLE BELISARIO ANDRADE Y CALLE ADOLFO TORRES</t>
  </si>
  <si>
    <t>MERCADO 3 DE NOVIEMBRE</t>
  </si>
  <si>
    <t>CALLE MARISCAL LAMAR Y CALLE CORONEL TALBOT</t>
  </si>
  <si>
    <t>MERCADO 12 DE ABRIL</t>
  </si>
  <si>
    <t>CALLE PADRE MONROY Y CALLE GENERAL ELOY ALFARO</t>
  </si>
  <si>
    <t>MERCADO 9 DE OCTUBRE</t>
  </si>
  <si>
    <t>CALLE MARISCAL LAMAR Y CALLE HERMANO MIGUEL</t>
  </si>
  <si>
    <t>CC 9 DE OCTUBRE</t>
  </si>
  <si>
    <t>CALLE GASPAR SANGURIMA</t>
  </si>
  <si>
    <t>PLAZA ROTARY</t>
  </si>
  <si>
    <t>PLAZA DE FLORES</t>
  </si>
  <si>
    <t>CALLE PADRE AGUIRRE Y CALLE MARSICAL SUCRE</t>
  </si>
  <si>
    <t>PLAZA SANTA ANA</t>
  </si>
  <si>
    <t>CALLE PADRE AGUIRRE Y CALLE MARISCAL LAMAR</t>
  </si>
  <si>
    <t>PLAZA SAN FRANCISCO</t>
  </si>
  <si>
    <t>CALLE PRESIDENTE CORDOVA Y CALLE GENERAL TORRES</t>
  </si>
  <si>
    <t>RECINTO FERIAL</t>
  </si>
  <si>
    <t>AVENIDA DE LAS AMÉRICAS Y AV CARLOS ARIZAGA VEGA</t>
  </si>
  <si>
    <t>PLATAFORMA MIRAFLORES</t>
  </si>
  <si>
    <t>CALLE DEL PASACALLE Y CALLE DEL PASILLO</t>
  </si>
  <si>
    <t>PLATAFORMA NARANCAY</t>
  </si>
  <si>
    <t>CALLE DEL CHARANGO</t>
  </si>
  <si>
    <t>PLATAFORMA ORQUIDEAS</t>
  </si>
  <si>
    <t>CALLE SAN SILVESTRE Y CALLE PLOVDIV</t>
  </si>
  <si>
    <t>PLATAFORMA CEBOLLAR</t>
  </si>
  <si>
    <t>CALLE DEL MORRO Y CALLE IVÁN OROZCO</t>
  </si>
  <si>
    <t>PLATAFORMA QUINTA CHICA</t>
  </si>
  <si>
    <t>CALLE LAS CHORRERAS</t>
  </si>
  <si>
    <t>MERCADO 4 DE NOVIEMBRE</t>
  </si>
  <si>
    <t>CALLES ALFONSO BERNAL E ISABEL GUAMBAÑA</t>
  </si>
  <si>
    <t>EL ARENAL</t>
  </si>
  <si>
    <t xml:space="preserve">PLATAFORMA TOTORACOCHA </t>
  </si>
  <si>
    <t>CALLE SARAURCO Y CALLE BUERÁN</t>
  </si>
  <si>
    <t>PLATAFORMA VALDIVIEZO</t>
  </si>
  <si>
    <t>CALLE ANTONIO VALDIVIEZO Y CALLE TOMÁS ORDOÑEZ</t>
  </si>
  <si>
    <t>TOTAL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</si>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</sst>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&quot; de &quot;mmmm&quot; de &quot;yyyy"/>
  </numFmts>
  <fonts count="6">
    <font>
      <sz val="11.0"/>
      <color theme="1"/>
      <name val="Calibri"/>
      <scheme val="minor"/>
    </font>
    <font>
      <sz val="11.0"/>
      <color rgb="FF000000"/>
      <name val="Arial"/>
    </font>
    <font>
      <sz val="11.0"/>
      <color rgb="FF000000"/>
      <name val="Calibri"/>
    </font>
    <font>
      <b/>
      <sz val="14.0"/>
      <color rgb="FF000000"/>
      <name val="Calibri"/>
    </font>
    <font>
      <color theme="1"/>
      <name val="Arial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9BC2E6"/>
        <bgColor rgb="FF9BC2E6"/>
      </patternFill>
    </fill>
    <fill>
      <patternFill patternType="solid">
        <fgColor rgb="FFA9D08E"/>
        <bgColor rgb="FFA9D08E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164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4" fillId="2" fontId="2" numFmtId="0" xfId="0" applyAlignment="1" applyBorder="1" applyFill="1" applyFont="1">
      <alignment shrinkToFit="0" vertical="bottom" wrapText="0"/>
    </xf>
    <xf borderId="4" fillId="2" fontId="2" numFmtId="0" xfId="0" applyAlignment="1" applyBorder="1" applyFont="1">
      <alignment horizontal="left" shrinkToFit="0" vertical="bottom" wrapText="0"/>
    </xf>
    <xf borderId="3" fillId="2" fontId="2" numFmtId="0" xfId="0" applyAlignment="1" applyBorder="1" applyFont="1">
      <alignment shrinkToFit="0" vertical="bottom" wrapText="0"/>
    </xf>
    <xf borderId="5" fillId="3" fontId="2" numFmtId="0" xfId="0" applyAlignment="1" applyBorder="1" applyFill="1" applyFont="1">
      <alignment shrinkToFit="0" vertical="bottom" wrapText="0"/>
    </xf>
    <xf borderId="5" fillId="4" fontId="2" numFmtId="0" xfId="0" applyAlignment="1" applyBorder="1" applyFill="1" applyFont="1">
      <alignment horizontal="left" shrinkToFit="0" vertical="bottom" wrapText="0"/>
    </xf>
    <xf borderId="6" fillId="5" fontId="2" numFmtId="0" xfId="0" applyAlignment="1" applyBorder="1" applyFill="1" applyFont="1">
      <alignment horizontal="right" shrinkToFit="0" vertical="bottom" wrapText="0"/>
    </xf>
    <xf borderId="6" fillId="6" fontId="2" numFmtId="0" xfId="0" applyAlignment="1" applyBorder="1" applyFill="1" applyFont="1">
      <alignment horizontal="right" shrinkToFit="0" vertical="bottom" wrapText="0"/>
    </xf>
    <xf borderId="6" fillId="7" fontId="2" numFmtId="0" xfId="0" applyAlignment="1" applyBorder="1" applyFill="1" applyFont="1">
      <alignment horizontal="right" shrinkToFit="0" vertical="bottom" wrapText="0"/>
    </xf>
    <xf borderId="6" fillId="5" fontId="1" numFmtId="0" xfId="0" applyAlignment="1" applyBorder="1" applyFont="1">
      <alignment horizontal="right" shrinkToFit="0" vertical="bottom" wrapText="0"/>
    </xf>
    <xf borderId="5" fillId="3" fontId="1" numFmtId="0" xfId="0" applyAlignment="1" applyBorder="1" applyFont="1">
      <alignment shrinkToFit="0" vertical="bottom" wrapText="0"/>
    </xf>
    <xf borderId="6" fillId="6" fontId="1" numFmtId="0" xfId="0" applyAlignment="1" applyBorder="1" applyFont="1">
      <alignment horizontal="right" shrinkToFit="0" vertical="bottom" wrapText="0"/>
    </xf>
    <xf borderId="6" fillId="7" fontId="1" numFmtId="0" xfId="0" applyAlignment="1" applyBorder="1" applyFont="1">
      <alignment horizontal="right" shrinkToFit="0" vertical="bottom" wrapText="0"/>
    </xf>
    <xf borderId="0" fillId="3" fontId="1" numFmtId="0" xfId="0" applyAlignment="1" applyFont="1">
      <alignment shrinkToFit="0" vertical="bottom" wrapText="0"/>
    </xf>
    <xf borderId="0" fillId="5" fontId="1" numFmtId="0" xfId="0" applyAlignment="1" applyFont="1">
      <alignment shrinkToFit="0" vertical="bottom" wrapText="0"/>
    </xf>
    <xf borderId="0" fillId="6" fontId="2" numFmtId="0" xfId="0" applyAlignment="1" applyFont="1">
      <alignment shrinkToFit="0" vertical="bottom" wrapText="0"/>
    </xf>
    <xf borderId="0" fillId="7" fontId="2" numFmtId="0" xfId="0" applyAlignment="1" applyFont="1">
      <alignment shrinkToFit="0" vertical="bottom" wrapText="0"/>
    </xf>
    <xf borderId="0" fillId="6" fontId="2" numFmtId="0" xfId="0" applyAlignment="1" applyFont="1">
      <alignment readingOrder="0" shrinkToFit="0" vertical="bottom" wrapText="0"/>
    </xf>
    <xf borderId="0" fillId="7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4" fillId="8" fontId="3" numFmtId="0" xfId="0" applyAlignment="1" applyBorder="1" applyFill="1" applyFont="1">
      <alignment shrinkToFit="0" vertical="bottom" wrapText="0"/>
    </xf>
    <xf borderId="3" fillId="8" fontId="3" numFmtId="0" xfId="0" applyAlignment="1" applyBorder="1" applyFont="1">
      <alignment horizontal="right" shrinkToFit="0" vertical="bottom" wrapText="0"/>
    </xf>
    <xf borderId="0" fillId="0" fontId="4" numFmtId="0" xfId="0" applyFont="1"/>
    <xf borderId="0" fillId="0" fontId="4" numFmtId="9" xfId="0" applyFont="1" applyNumberForma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59.71"/>
    <col customWidth="1" min="3" max="3" width="46.14"/>
    <col customWidth="1" min="4" max="4" width="16.29"/>
    <col customWidth="1" min="5" max="19" width="10.71"/>
  </cols>
  <sheetData>
    <row r="2">
      <c r="A2" s="1" t="s">
        <v>0</v>
      </c>
      <c r="B2" s="2"/>
      <c r="C2" s="2">
        <f>TODAY()</f>
        <v>46086</v>
      </c>
      <c r="D2" s="3"/>
      <c r="E2" s="4"/>
    </row>
    <row r="3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</row>
    <row r="4">
      <c r="A4" s="8" t="s">
        <v>6</v>
      </c>
      <c r="B4" s="9" t="s">
        <v>7</v>
      </c>
      <c r="C4" s="10">
        <v>651.0</v>
      </c>
      <c r="D4" s="11">
        <v>80.0</v>
      </c>
      <c r="E4" s="12">
        <v>571.0</v>
      </c>
    </row>
    <row r="5">
      <c r="A5" s="8" t="s">
        <v>8</v>
      </c>
      <c r="B5" s="9" t="s">
        <v>9</v>
      </c>
      <c r="C5" s="10">
        <v>494.0</v>
      </c>
      <c r="D5" s="11">
        <v>49.0</v>
      </c>
      <c r="E5" s="12">
        <v>445.0</v>
      </c>
    </row>
    <row r="6">
      <c r="A6" s="8" t="s">
        <v>10</v>
      </c>
      <c r="B6" s="9" t="s">
        <v>11</v>
      </c>
      <c r="C6" s="10">
        <v>184.0</v>
      </c>
      <c r="D6" s="11">
        <v>15.0</v>
      </c>
      <c r="E6" s="12">
        <v>169.0</v>
      </c>
    </row>
    <row r="7">
      <c r="A7" s="8" t="s">
        <v>12</v>
      </c>
      <c r="B7" s="9" t="s">
        <v>13</v>
      </c>
      <c r="C7" s="10">
        <v>564.0</v>
      </c>
      <c r="D7" s="11">
        <v>31.0</v>
      </c>
      <c r="E7" s="12">
        <v>533.0</v>
      </c>
    </row>
    <row r="8">
      <c r="A8" s="8" t="s">
        <v>14</v>
      </c>
      <c r="B8" s="9" t="s">
        <v>15</v>
      </c>
      <c r="C8" s="10">
        <v>274.0</v>
      </c>
      <c r="D8" s="11">
        <v>13.0</v>
      </c>
      <c r="E8" s="12">
        <v>261.0</v>
      </c>
    </row>
    <row r="9">
      <c r="A9" s="8" t="s">
        <v>16</v>
      </c>
      <c r="B9" s="9" t="s">
        <v>17</v>
      </c>
      <c r="C9" s="10">
        <v>221.0</v>
      </c>
      <c r="D9" s="11">
        <v>15.0</v>
      </c>
      <c r="E9" s="12">
        <v>206.0</v>
      </c>
    </row>
    <row r="10">
      <c r="A10" s="8" t="s">
        <v>18</v>
      </c>
      <c r="B10" s="9" t="s">
        <v>17</v>
      </c>
      <c r="C10" s="10">
        <v>110.0</v>
      </c>
      <c r="D10" s="11">
        <v>6.0</v>
      </c>
      <c r="E10" s="12">
        <v>104.0</v>
      </c>
    </row>
    <row r="11">
      <c r="A11" s="8" t="s">
        <v>19</v>
      </c>
      <c r="B11" s="9" t="s">
        <v>20</v>
      </c>
      <c r="C11" s="10">
        <v>25.0</v>
      </c>
      <c r="D11" s="11">
        <v>1.0</v>
      </c>
      <c r="E11" s="12">
        <v>24.0</v>
      </c>
    </row>
    <row r="12">
      <c r="A12" s="8" t="s">
        <v>21</v>
      </c>
      <c r="B12" s="9" t="s">
        <v>22</v>
      </c>
      <c r="C12" s="10">
        <v>26.0</v>
      </c>
      <c r="D12" s="11">
        <v>13.0</v>
      </c>
      <c r="E12" s="12">
        <v>13.0</v>
      </c>
    </row>
    <row r="13">
      <c r="A13" s="8" t="s">
        <v>23</v>
      </c>
      <c r="B13" s="9" t="s">
        <v>24</v>
      </c>
      <c r="C13" s="10">
        <v>104.0</v>
      </c>
      <c r="D13" s="11">
        <v>25.0</v>
      </c>
      <c r="E13" s="12">
        <v>79.0</v>
      </c>
    </row>
    <row r="14">
      <c r="A14" s="8" t="s">
        <v>25</v>
      </c>
      <c r="B14" s="9" t="s">
        <v>26</v>
      </c>
      <c r="C14" s="10">
        <v>1703.0</v>
      </c>
      <c r="D14" s="11">
        <v>510.0</v>
      </c>
      <c r="E14" s="12">
        <v>1193.0</v>
      </c>
    </row>
    <row r="15">
      <c r="A15" s="8" t="s">
        <v>27</v>
      </c>
      <c r="B15" s="9" t="s">
        <v>28</v>
      </c>
      <c r="C15" s="10">
        <v>562.0</v>
      </c>
      <c r="D15" s="11">
        <v>60.0</v>
      </c>
      <c r="E15" s="12">
        <v>502.0</v>
      </c>
    </row>
    <row r="16">
      <c r="A16" s="8" t="s">
        <v>29</v>
      </c>
      <c r="B16" s="9" t="s">
        <v>30</v>
      </c>
      <c r="C16" s="13">
        <v>384.0</v>
      </c>
      <c r="D16" s="11">
        <v>12.0</v>
      </c>
      <c r="E16" s="12">
        <v>372.0</v>
      </c>
    </row>
    <row r="17">
      <c r="A17" s="8" t="s">
        <v>31</v>
      </c>
      <c r="B17" s="9" t="s">
        <v>32</v>
      </c>
      <c r="C17" s="13">
        <v>26.0</v>
      </c>
      <c r="D17" s="11">
        <v>10.0</v>
      </c>
      <c r="E17" s="12">
        <v>13.0</v>
      </c>
    </row>
    <row r="18">
      <c r="A18" s="8" t="s">
        <v>33</v>
      </c>
      <c r="B18" s="9" t="s">
        <v>34</v>
      </c>
      <c r="C18" s="13">
        <v>52.0</v>
      </c>
      <c r="D18" s="11">
        <v>8.0</v>
      </c>
      <c r="E18" s="12">
        <v>43.0</v>
      </c>
    </row>
    <row r="19">
      <c r="A19" s="8" t="s">
        <v>35</v>
      </c>
      <c r="B19" s="9" t="s">
        <v>36</v>
      </c>
      <c r="C19" s="10">
        <v>27.0</v>
      </c>
      <c r="D19" s="11">
        <v>1.0</v>
      </c>
      <c r="E19" s="12">
        <v>26.0</v>
      </c>
    </row>
    <row r="20">
      <c r="A20" s="14" t="s">
        <v>37</v>
      </c>
      <c r="B20" s="9" t="s">
        <v>38</v>
      </c>
      <c r="C20" s="13">
        <v>286.0</v>
      </c>
      <c r="D20" s="15">
        <v>27.0</v>
      </c>
      <c r="E20" s="16">
        <v>243.0</v>
      </c>
    </row>
    <row r="21">
      <c r="A21" s="8" t="s">
        <v>39</v>
      </c>
      <c r="B21" s="9" t="s">
        <v>26</v>
      </c>
      <c r="C21" s="10">
        <v>2230.0</v>
      </c>
      <c r="D21" s="11">
        <v>641.0</v>
      </c>
      <c r="E21" s="12">
        <v>1589.0</v>
      </c>
    </row>
    <row r="22" ht="15.75" customHeight="1">
      <c r="A22" s="17" t="s">
        <v>40</v>
      </c>
      <c r="B22" s="9" t="s">
        <v>41</v>
      </c>
      <c r="C22" s="18">
        <v>180.0</v>
      </c>
      <c r="D22" s="19"/>
      <c r="E22" s="20"/>
    </row>
    <row r="23" ht="15.75" customHeight="1">
      <c r="A23" s="17" t="s">
        <v>42</v>
      </c>
      <c r="B23" s="9" t="s">
        <v>43</v>
      </c>
      <c r="C23" s="18">
        <v>350.0</v>
      </c>
      <c r="D23" s="21">
        <v>32.0</v>
      </c>
      <c r="E23" s="22">
        <v>318.0</v>
      </c>
    </row>
    <row r="24" ht="15.75" customHeight="1">
      <c r="B24" s="23"/>
      <c r="C24" s="23"/>
      <c r="D24" s="23">
        <f t="shared" ref="D24:E24" si="1">SUM(D4:D21)</f>
        <v>1517</v>
      </c>
      <c r="E24" s="23">
        <f t="shared" si="1"/>
        <v>6386</v>
      </c>
    </row>
    <row r="25" ht="15.75" customHeight="1">
      <c r="A25" s="24" t="s">
        <v>44</v>
      </c>
      <c r="B25" s="25"/>
      <c r="C25" s="25">
        <f>SUM(C4:C23)</f>
        <v>8453</v>
      </c>
      <c r="D25" s="23"/>
      <c r="E25" s="23"/>
    </row>
    <row r="26" ht="15.75" customHeight="1">
      <c r="A26" s="23"/>
      <c r="B26" s="23"/>
      <c r="C26" s="23"/>
      <c r="D26" s="23"/>
      <c r="E26" s="23"/>
    </row>
    <row r="27" ht="15.75" customHeight="1"/>
    <row r="28" ht="15.75" customHeight="1">
      <c r="I28" s="26"/>
      <c r="J28" s="27"/>
      <c r="K28" s="26"/>
    </row>
    <row r="29" ht="15.75" customHeight="1">
      <c r="B29" s="28"/>
      <c r="C29" s="28"/>
      <c r="I29" s="26"/>
      <c r="J29" s="27"/>
    </row>
    <row r="30" ht="15.75" customHeight="1">
      <c r="B30" s="28"/>
      <c r="C30" s="28"/>
    </row>
    <row r="31" ht="15.75" customHeight="1">
      <c r="B31" s="26"/>
      <c r="C31" s="2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H40" s="29" t="s">
        <v>45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2021-07-23T15:03:23Z</dcterms:created>
  <dc:creator>Iván Patricio Poveda Saquipay</dc:creator>
</cp:coreProperties>
</file>